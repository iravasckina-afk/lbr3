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8_{5D87F1CB-98C4-4BE4-B64B-FC24980CA27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8" i="1" l="1"/>
  <c r="E28" i="1"/>
  <c r="D28" i="1"/>
  <c r="C28" i="1"/>
  <c r="B28" i="1"/>
  <c r="F27" i="1"/>
  <c r="E27" i="1"/>
  <c r="D27" i="1"/>
  <c r="C27" i="1"/>
  <c r="B27" i="1"/>
  <c r="F12" i="1"/>
  <c r="C17" i="1"/>
  <c r="C20" i="1"/>
  <c r="C21" i="1" s="1"/>
  <c r="C18" i="1"/>
  <c r="D18" i="1"/>
  <c r="D20" i="1" s="1"/>
  <c r="B18" i="1"/>
  <c r="D17" i="1"/>
  <c r="B17" i="1"/>
  <c r="B12" i="1"/>
  <c r="C6" i="1"/>
  <c r="D6" i="1"/>
  <c r="E6" i="1"/>
  <c r="F6" i="1"/>
  <c r="B6" i="1"/>
  <c r="C5" i="1"/>
  <c r="C7" i="1" s="1"/>
  <c r="D5" i="1"/>
  <c r="D9" i="1" s="1"/>
  <c r="E5" i="1"/>
  <c r="E9" i="1" s="1"/>
  <c r="F5" i="1"/>
  <c r="F9" i="1" s="1"/>
  <c r="B5" i="1"/>
  <c r="B13" i="1" l="1"/>
  <c r="I12" i="1"/>
  <c r="D22" i="1"/>
  <c r="D21" i="1"/>
  <c r="D23" i="1"/>
  <c r="B8" i="1"/>
  <c r="C9" i="1"/>
  <c r="G12" i="1"/>
  <c r="F13" i="1" s="1"/>
  <c r="D12" i="1"/>
  <c r="F8" i="1"/>
  <c r="H28" i="1"/>
  <c r="D31" i="1" s="1"/>
  <c r="E7" i="1"/>
  <c r="E8" i="1"/>
  <c r="D7" i="1"/>
  <c r="D8" i="1"/>
  <c r="I13" i="1"/>
  <c r="B7" i="1"/>
  <c r="C12" i="1"/>
  <c r="F7" i="1"/>
  <c r="C8" i="1"/>
  <c r="D13" i="1"/>
  <c r="B9" i="1"/>
  <c r="H14" i="1" s="1"/>
  <c r="E31" i="1" l="1"/>
  <c r="B31" i="1"/>
  <c r="F31" i="1"/>
  <c r="C31" i="1"/>
  <c r="H31" i="1" s="1"/>
  <c r="I14" i="1"/>
  <c r="H12" i="1"/>
  <c r="C29" i="1"/>
  <c r="C30" i="1" s="1"/>
  <c r="B29" i="1"/>
  <c r="B30" i="1" s="1"/>
  <c r="B23" i="1"/>
  <c r="D29" i="1"/>
  <c r="D30" i="1" s="1"/>
  <c r="E29" i="1"/>
  <c r="E30" i="1" s="1"/>
  <c r="G29" i="1"/>
  <c r="F29" i="1"/>
  <c r="F30" i="1" s="1"/>
  <c r="H13" i="1"/>
  <c r="G14" i="1" s="1"/>
  <c r="C13" i="1"/>
  <c r="H30" i="1" l="1"/>
  <c r="G13" i="1"/>
  <c r="F14" i="1"/>
  <c r="G17" i="1" a="1"/>
  <c r="G17" i="1" l="1"/>
  <c r="G19" i="1"/>
  <c r="I17" i="1"/>
  <c r="I18" i="1"/>
  <c r="H17" i="1"/>
  <c r="I19" i="1"/>
  <c r="H19" i="1"/>
  <c r="H18" i="1"/>
  <c r="G18" i="1"/>
  <c r="K31" i="1"/>
  <c r="J31" i="1"/>
  <c r="I20" i="1" l="1" a="1"/>
  <c r="I22" i="1" s="1"/>
  <c r="I21" i="1" l="1"/>
  <c r="I20" i="1"/>
  <c r="B32" i="1" s="1"/>
  <c r="B33" i="1" s="1"/>
  <c r="H33" i="1" s="1"/>
  <c r="E32" i="1"/>
  <c r="E33" i="1" s="1"/>
  <c r="F32" i="1"/>
  <c r="F33" i="1" s="1"/>
  <c r="C32" i="1"/>
  <c r="C33" i="1" s="1"/>
  <c r="G32" i="1"/>
  <c r="D32" i="1"/>
  <c r="D33" i="1" s="1"/>
  <c r="J33" i="1" l="1"/>
  <c r="K33" i="1"/>
</calcChain>
</file>

<file path=xl/sharedStrings.xml><?xml version="1.0" encoding="utf-8"?>
<sst xmlns="http://schemas.openxmlformats.org/spreadsheetml/2006/main" count="46" uniqueCount="35">
  <si>
    <t>p=</t>
  </si>
  <si>
    <t>q=</t>
  </si>
  <si>
    <t>n=</t>
  </si>
  <si>
    <t>№</t>
  </si>
  <si>
    <t>Tk</t>
  </si>
  <si>
    <t>Qk</t>
  </si>
  <si>
    <t>Tk^2</t>
  </si>
  <si>
    <t>Tk^3</t>
  </si>
  <si>
    <t>Tk^4</t>
  </si>
  <si>
    <t>Линейная регрессия</t>
  </si>
  <si>
    <t>с_0</t>
  </si>
  <si>
    <t>с_1</t>
  </si>
  <si>
    <t>b</t>
  </si>
  <si>
    <t>Квадратичная регрессия</t>
  </si>
  <si>
    <t>с_2</t>
  </si>
  <si>
    <t>Метод Гаусса</t>
  </si>
  <si>
    <t>Шаг 1</t>
  </si>
  <si>
    <t>Шаг 3</t>
  </si>
  <si>
    <t>Шаг 4</t>
  </si>
  <si>
    <t>Шаг 2</t>
  </si>
  <si>
    <t>с_0=</t>
  </si>
  <si>
    <t>Прямой ход</t>
  </si>
  <si>
    <t>Обратный ход</t>
  </si>
  <si>
    <t>c_1=</t>
  </si>
  <si>
    <t>Матричный метод</t>
  </si>
  <si>
    <t>Обратная матрица</t>
  </si>
  <si>
    <t>с_1=</t>
  </si>
  <si>
    <t>с_2=</t>
  </si>
  <si>
    <t>W</t>
  </si>
  <si>
    <t>Квадрат отклонения</t>
  </si>
  <si>
    <t>ср знач</t>
  </si>
  <si>
    <t>W=</t>
  </si>
  <si>
    <t>=</t>
  </si>
  <si>
    <t>R лин² =</t>
  </si>
  <si>
    <t>R квадр²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</si>
</sst>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_-* #,##0.000\ _₽_-;\-* #,##0.000\ _₽_-;_-* &quot;-&quot;??\ _₽_-;_-@_-"/>
    <numFmt numFmtId="166" formatCode="0.0000"/>
    <numFmt numFmtId="167" formatCode="_-* #,##0.000\ _₽_-;\-* #,##0.000\ _₽_-;_-* &quot;-&quot;???\ _₽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onsolas"/>
      <family val="3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2" fillId="0" borderId="0" xfId="0" applyFont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3" fillId="6" borderId="1" xfId="0" applyFont="1" applyFill="1" applyBorder="1"/>
    <xf numFmtId="166" fontId="3" fillId="6" borderId="1" xfId="0" applyNumberFormat="1" applyFont="1" applyFill="1" applyBorder="1"/>
    <xf numFmtId="166" fontId="3" fillId="5" borderId="0" xfId="0" applyNumberFormat="1" applyFont="1" applyFill="1"/>
    <xf numFmtId="165" fontId="0" fillId="5" borderId="1" xfId="0" applyNumberFormat="1" applyFill="1" applyBorder="1"/>
    <xf numFmtId="167" fontId="0" fillId="2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0" fillId="4" borderId="1" xfId="0" applyNumberFormat="1" applyFill="1" applyBorder="1"/>
    <xf numFmtId="166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2"/>
  <sheetViews>
    <sheetView tabSelected="1" workbookViewId="0">
      <selection activeCell="H8" sqref="H8"/>
    </sheetView>
  </sheetViews>
  <sheetFormatPr defaultRowHeight="17.25" customHeight="1" x14ac:dyDescent="0.35"/>
  <cols>
    <col min="1" max="1" width="22.81640625" customWidth="1"/>
    <col min="2" max="7" width="13.1796875" customWidth="1"/>
    <col min="8" max="8" width="10.54296875" customWidth="1"/>
    <col min="9" max="10" width="13.1796875" customWidth="1"/>
  </cols>
  <sheetData>
    <row r="1" spans="1:32" ht="17.25" customHeight="1" x14ac:dyDescent="0.35">
      <c r="A1" s="1" t="s">
        <v>0</v>
      </c>
      <c r="B1" s="1">
        <v>0</v>
      </c>
      <c r="C1" s="1"/>
      <c r="D1" s="1" t="s">
        <v>2</v>
      </c>
      <c r="E1" s="1">
        <v>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7.25" customHeight="1" x14ac:dyDescent="0.35">
      <c r="A2" s="1" t="s">
        <v>1</v>
      </c>
      <c r="B2" s="1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7.25" customHeight="1" x14ac:dyDescent="0.35">
      <c r="A4" s="2" t="s">
        <v>3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7.25" customHeight="1" x14ac:dyDescent="0.35">
      <c r="A5" s="2" t="s">
        <v>4</v>
      </c>
      <c r="B5" s="2">
        <f>99+B4^2+3*$B$1+$B$2</f>
        <v>105</v>
      </c>
      <c r="C5" s="2">
        <f t="shared" ref="C5:F5" si="0">99+C4^2+3*$B$1+$B$2</f>
        <v>108</v>
      </c>
      <c r="D5" s="2">
        <f t="shared" si="0"/>
        <v>113</v>
      </c>
      <c r="E5" s="2">
        <f t="shared" si="0"/>
        <v>120</v>
      </c>
      <c r="F5" s="2">
        <f t="shared" si="0"/>
        <v>129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7.25" customHeight="1" x14ac:dyDescent="0.35">
      <c r="A6" s="2" t="s">
        <v>5</v>
      </c>
      <c r="B6" s="3">
        <f>66+(((B4-1)^1.25)/2.7)+$B$1+($B$2/2)+B4</f>
        <v>69.5</v>
      </c>
      <c r="C6" s="3">
        <f t="shared" ref="C6:F6" si="1">66+(((C4-1)^1.25)/2.7)+$B$1+($B$2/2)+C4</f>
        <v>70.870370370370367</v>
      </c>
      <c r="D6" s="3">
        <f t="shared" si="1"/>
        <v>72.380894159261274</v>
      </c>
      <c r="E6" s="3">
        <f t="shared" si="1"/>
        <v>73.962304458836101</v>
      </c>
      <c r="F6" s="3">
        <f t="shared" si="1"/>
        <v>75.595131203515692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7.25" customHeight="1" x14ac:dyDescent="0.35">
      <c r="A7" s="4" t="s">
        <v>6</v>
      </c>
      <c r="B7" s="4">
        <f>B5^2</f>
        <v>11025</v>
      </c>
      <c r="C7" s="4">
        <f t="shared" ref="C7:F7" si="2">C5^2</f>
        <v>11664</v>
      </c>
      <c r="D7" s="4">
        <f t="shared" si="2"/>
        <v>12769</v>
      </c>
      <c r="E7" s="4">
        <f t="shared" si="2"/>
        <v>14400</v>
      </c>
      <c r="F7" s="4">
        <f t="shared" si="2"/>
        <v>16641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7.25" customHeight="1" x14ac:dyDescent="0.35">
      <c r="A8" s="4" t="s">
        <v>7</v>
      </c>
      <c r="B8" s="4">
        <f>B5^3</f>
        <v>1157625</v>
      </c>
      <c r="C8" s="4">
        <f t="shared" ref="C8:F8" si="3">C5^3</f>
        <v>1259712</v>
      </c>
      <c r="D8" s="4">
        <f t="shared" si="3"/>
        <v>1442897</v>
      </c>
      <c r="E8" s="4">
        <f t="shared" si="3"/>
        <v>1728000</v>
      </c>
      <c r="F8" s="4">
        <f t="shared" si="3"/>
        <v>2146689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7.25" customHeight="1" x14ac:dyDescent="0.35">
      <c r="A9" s="4" t="s">
        <v>8</v>
      </c>
      <c r="B9" s="4">
        <f>B5^4</f>
        <v>121550625</v>
      </c>
      <c r="C9" s="4">
        <f t="shared" ref="C9:F9" si="4">C5^4</f>
        <v>136048896</v>
      </c>
      <c r="D9" s="4">
        <f t="shared" si="4"/>
        <v>163047361</v>
      </c>
      <c r="E9" s="4">
        <f t="shared" si="4"/>
        <v>207360000</v>
      </c>
      <c r="F9" s="8">
        <f t="shared" si="4"/>
        <v>276922881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7.25" customHeight="1" x14ac:dyDescent="0.35">
      <c r="A10" s="1"/>
      <c r="B10" s="6"/>
      <c r="C10" s="6" t="s">
        <v>9</v>
      </c>
      <c r="D10" s="6"/>
      <c r="E10" s="1"/>
      <c r="F10" s="9"/>
      <c r="G10" s="10" t="s">
        <v>13</v>
      </c>
      <c r="H10" s="10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7.25" customHeight="1" x14ac:dyDescent="0.35">
      <c r="A11" s="1"/>
      <c r="B11" s="6" t="s">
        <v>10</v>
      </c>
      <c r="C11" s="6" t="s">
        <v>11</v>
      </c>
      <c r="D11" s="6" t="s">
        <v>12</v>
      </c>
      <c r="E11" s="1"/>
      <c r="F11" s="6" t="s">
        <v>10</v>
      </c>
      <c r="G11" s="6" t="s">
        <v>11</v>
      </c>
      <c r="H11" s="6" t="s">
        <v>14</v>
      </c>
      <c r="I11" s="6" t="s">
        <v>12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7.25" customHeight="1" x14ac:dyDescent="0.35">
      <c r="A12" s="1"/>
      <c r="B12" s="6">
        <f>E1</f>
        <v>5</v>
      </c>
      <c r="C12" s="6">
        <f>SUM(B5:F5)</f>
        <v>575</v>
      </c>
      <c r="D12" s="7">
        <f>SUM(B6:F6)</f>
        <v>362.30870019198346</v>
      </c>
      <c r="E12" s="1"/>
      <c r="F12" s="6">
        <f>E1</f>
        <v>5</v>
      </c>
      <c r="G12" s="6">
        <f>SUM(B5:F5)</f>
        <v>575</v>
      </c>
      <c r="H12" s="6">
        <f>SUM(B7:F7)</f>
        <v>66499</v>
      </c>
      <c r="I12" s="21">
        <f>SUM(B6:F6)</f>
        <v>362.30870019198346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7.25" customHeight="1" x14ac:dyDescent="0.35">
      <c r="A13" s="1"/>
      <c r="B13" s="6">
        <f>SUM(B5:F5)</f>
        <v>575</v>
      </c>
      <c r="C13" s="6">
        <f>SUM(B7:F7)</f>
        <v>66499</v>
      </c>
      <c r="D13" s="6">
        <f>SUMPRODUCT(B5:F5,B6:F6)</f>
        <v>41757.789500310384</v>
      </c>
      <c r="E13" s="1"/>
      <c r="F13" s="6">
        <f>G12</f>
        <v>575</v>
      </c>
      <c r="G13" s="6">
        <f>H12</f>
        <v>66499</v>
      </c>
      <c r="H13" s="6">
        <f>SUM(B8:F8)</f>
        <v>7734923</v>
      </c>
      <c r="I13" s="6">
        <f>SUMPRODUCT(B5:F5,B6:F6)</f>
        <v>41757.789500310384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7.25" customHeight="1" x14ac:dyDescent="0.35">
      <c r="A14" s="1"/>
      <c r="B14" s="12" t="s">
        <v>15</v>
      </c>
      <c r="C14" s="1"/>
      <c r="D14" s="1"/>
      <c r="E14" s="1"/>
      <c r="F14" s="6">
        <f>H12</f>
        <v>66499</v>
      </c>
      <c r="G14" s="6">
        <f>H13</f>
        <v>7734923</v>
      </c>
      <c r="H14" s="6">
        <f>SUM(B9:F9)</f>
        <v>904929763</v>
      </c>
      <c r="I14" s="6">
        <f>SUMPRODUCT(B7:F7,B6:F6)</f>
        <v>4840136.9000845524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7.25" customHeight="1" x14ac:dyDescent="0.35">
      <c r="A15" s="26" t="s">
        <v>16</v>
      </c>
      <c r="B15" s="2">
        <v>5</v>
      </c>
      <c r="C15" s="2">
        <v>550</v>
      </c>
      <c r="D15" s="2">
        <v>349.80870019198346</v>
      </c>
      <c r="E15" s="26" t="s">
        <v>21</v>
      </c>
      <c r="F15" s="1"/>
      <c r="G15" s="1" t="s">
        <v>24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7.25" customHeight="1" x14ac:dyDescent="0.35">
      <c r="A16" s="26"/>
      <c r="B16" s="2">
        <v>550</v>
      </c>
      <c r="C16" s="2">
        <v>60874</v>
      </c>
      <c r="D16" s="2">
        <v>38571.24599935046</v>
      </c>
      <c r="E16" s="26"/>
      <c r="F16" s="1"/>
      <c r="G16" s="26" t="s">
        <v>25</v>
      </c>
      <c r="H16" s="26"/>
      <c r="I16" s="2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7.25" customHeight="1" x14ac:dyDescent="0.35">
      <c r="A17" s="26" t="s">
        <v>19</v>
      </c>
      <c r="B17" s="2">
        <f>B15/$B$15</f>
        <v>1</v>
      </c>
      <c r="C17" s="2">
        <f>C15/$B$15</f>
        <v>110</v>
      </c>
      <c r="D17" s="13">
        <f t="shared" ref="D17" si="5">D15/$B$15</f>
        <v>69.961740038396698</v>
      </c>
      <c r="E17" s="26"/>
      <c r="F17" s="1"/>
      <c r="G17" s="2">
        <f t="array" ref="G17:I19">MINVERSE(F12:H14)</f>
        <v>10740.272727105148</v>
      </c>
      <c r="H17" s="2">
        <v>-184.30827505539889</v>
      </c>
      <c r="I17" s="2">
        <v>0.78613053611826711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7.25" customHeight="1" x14ac:dyDescent="0.35">
      <c r="A18" s="26"/>
      <c r="B18" s="2">
        <f>B16-B17*$B$16</f>
        <v>0</v>
      </c>
      <c r="C18" s="2">
        <f t="shared" ref="C18:D18" si="6">C16-C17*$B$16</f>
        <v>374</v>
      </c>
      <c r="D18" s="2">
        <f t="shared" si="6"/>
        <v>92.28897823227453</v>
      </c>
      <c r="E18" s="26"/>
      <c r="F18" s="1"/>
      <c r="G18" s="2">
        <v>-184.30827505539858</v>
      </c>
      <c r="H18" s="2">
        <v>3.1654203410702735</v>
      </c>
      <c r="I18" s="2">
        <v>-1.3512614036878968E-2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7.25" customHeight="1" x14ac:dyDescent="0.35">
      <c r="A19" s="26" t="s">
        <v>17</v>
      </c>
      <c r="B19" s="2">
        <v>1</v>
      </c>
      <c r="C19" s="2">
        <v>110</v>
      </c>
      <c r="D19" s="2">
        <v>69.961740038396698</v>
      </c>
      <c r="E19" s="26"/>
      <c r="F19" s="1"/>
      <c r="G19" s="2">
        <v>0.786130536118264</v>
      </c>
      <c r="H19" s="2">
        <v>-1.351261403687894E-2</v>
      </c>
      <c r="I19" s="2">
        <v>5.7731701087445971E-5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7.25" customHeight="1" x14ac:dyDescent="0.35">
      <c r="A20" s="26"/>
      <c r="B20" s="2">
        <v>0</v>
      </c>
      <c r="C20" s="14">
        <f xml:space="preserve"> C18/$C$18</f>
        <v>1</v>
      </c>
      <c r="D20" s="13">
        <f xml:space="preserve"> D18/$C$18</f>
        <v>0.24676197388308699</v>
      </c>
      <c r="E20" s="26"/>
      <c r="F20" s="1"/>
      <c r="G20" s="1"/>
      <c r="H20" s="6" t="s">
        <v>20</v>
      </c>
      <c r="I20" s="6">
        <f t="array" ref="I20:I22">MMULT(G17:I19,I12:I14)</f>
        <v>-32.485314501449466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7.25" customHeight="1" x14ac:dyDescent="0.35">
      <c r="A21" s="27" t="s">
        <v>18</v>
      </c>
      <c r="B21" s="6">
        <v>1</v>
      </c>
      <c r="C21" s="6">
        <f>C17-C20*$C$17</f>
        <v>0</v>
      </c>
      <c r="D21" s="16">
        <f>D17-D20*$C$17</f>
        <v>42.817922911257128</v>
      </c>
      <c r="E21" s="27" t="s">
        <v>22</v>
      </c>
      <c r="F21" s="1"/>
      <c r="G21" s="1"/>
      <c r="H21" s="6" t="s">
        <v>26</v>
      </c>
      <c r="I21" s="6">
        <v>1.5628959667737945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7.25" customHeight="1" x14ac:dyDescent="0.35">
      <c r="A22" s="27"/>
      <c r="B22" s="6">
        <v>0</v>
      </c>
      <c r="C22" s="6">
        <v>1</v>
      </c>
      <c r="D22" s="20">
        <f>D20</f>
        <v>0.24676197388308699</v>
      </c>
      <c r="E22" s="27"/>
      <c r="F22" s="1"/>
      <c r="G22" s="1"/>
      <c r="H22" s="6" t="s">
        <v>27</v>
      </c>
      <c r="I22" s="6">
        <v>-5.6230906961332039E-3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7.25" customHeight="1" x14ac:dyDescent="0.35">
      <c r="A23" s="17" t="s">
        <v>20</v>
      </c>
      <c r="B23" s="18">
        <f>D21</f>
        <v>42.817922911257128</v>
      </c>
      <c r="C23" s="17" t="s">
        <v>23</v>
      </c>
      <c r="D23" s="19">
        <f>D20</f>
        <v>0.24676197388308699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7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7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7.25" customHeight="1" x14ac:dyDescent="0.35">
      <c r="A26" s="2" t="s">
        <v>3</v>
      </c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15">
        <v>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7.25" customHeight="1" x14ac:dyDescent="0.35">
      <c r="A27" s="2" t="s">
        <v>4</v>
      </c>
      <c r="B27" s="2">
        <f>99+B26^2+3*$B$1+$B$2</f>
        <v>105</v>
      </c>
      <c r="C27" s="2">
        <f t="shared" ref="C27" si="7">99+C26^2+3*$B$1+$B$2</f>
        <v>108</v>
      </c>
      <c r="D27" s="2">
        <f t="shared" ref="D27" si="8">99+D26^2+3*$B$1+$B$2</f>
        <v>113</v>
      </c>
      <c r="E27" s="2">
        <f t="shared" ref="E27" si="9">99+E26^2+3*$B$1+$B$2</f>
        <v>120</v>
      </c>
      <c r="F27" s="2">
        <f t="shared" ref="F27" si="10">99+F26^2+3*$B$1+$B$2</f>
        <v>129</v>
      </c>
      <c r="G27" s="15">
        <v>129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7.25" customHeight="1" x14ac:dyDescent="0.35">
      <c r="A28" s="2" t="s">
        <v>5</v>
      </c>
      <c r="B28" s="3">
        <f>66+(((B26-1)^1.25)/2.7)+$B$1+($B$2/2)+B26</f>
        <v>69.5</v>
      </c>
      <c r="C28" s="3">
        <f t="shared" ref="C28:F28" si="11">66+(((C26-1)^1.25)/2.7)+$B$1+($B$2/2)+C26</f>
        <v>70.870370370370367</v>
      </c>
      <c r="D28" s="3">
        <f t="shared" si="11"/>
        <v>72.380894159261274</v>
      </c>
      <c r="E28" s="3">
        <f t="shared" si="11"/>
        <v>73.962304458836101</v>
      </c>
      <c r="F28" s="3">
        <f t="shared" si="11"/>
        <v>75.595131203515692</v>
      </c>
      <c r="G28" s="2" t="s">
        <v>30</v>
      </c>
      <c r="H28" s="22">
        <f>SUM(B28:F28)/E1</f>
        <v>72.461740038396698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7.25" customHeight="1" x14ac:dyDescent="0.35">
      <c r="A29" s="2" t="s">
        <v>9</v>
      </c>
      <c r="B29" s="25">
        <f>$D$21+$D$22*B27</f>
        <v>68.72793016898126</v>
      </c>
      <c r="C29" s="25">
        <f t="shared" ref="C29:F29" si="12">$D$21+$D$22*C27</f>
        <v>69.46821609063052</v>
      </c>
      <c r="D29" s="25">
        <f t="shared" si="12"/>
        <v>70.702025960045958</v>
      </c>
      <c r="E29" s="25">
        <f t="shared" si="12"/>
        <v>72.429359777227575</v>
      </c>
      <c r="F29" s="25">
        <f t="shared" si="12"/>
        <v>74.650217542175341</v>
      </c>
      <c r="G29" s="24">
        <f>$D$21+$D$22*G27</f>
        <v>74.650217542175341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7.25" customHeight="1" x14ac:dyDescent="0.35">
      <c r="A30" s="2" t="s">
        <v>28</v>
      </c>
      <c r="B30" s="13">
        <f>(B28-B29)^2</f>
        <v>0.59609182396930593</v>
      </c>
      <c r="C30" s="13">
        <f t="shared" ref="C30:F30" si="13">(C28-C29)^2</f>
        <v>1.9660366241927685</v>
      </c>
      <c r="D30" s="13">
        <f t="shared" si="13"/>
        <v>2.8185984303364773</v>
      </c>
      <c r="E30" s="13">
        <f t="shared" si="13"/>
        <v>2.3499193968718668</v>
      </c>
      <c r="F30" s="13">
        <f t="shared" si="13"/>
        <v>0.89286182738762765</v>
      </c>
      <c r="G30" s="2" t="s">
        <v>31</v>
      </c>
      <c r="H30" s="2">
        <f>SUM(B30:F30)</f>
        <v>8.6235081027580449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7.25" customHeight="1" x14ac:dyDescent="0.35">
      <c r="A31" s="2" t="s">
        <v>29</v>
      </c>
      <c r="B31" s="13">
        <f>(B28-$H$28)^2</f>
        <v>8.771904055042075</v>
      </c>
      <c r="C31" s="13">
        <f t="shared" ref="C31:F31" si="14">(C28-$H$28)^2</f>
        <v>2.5324574203142363</v>
      </c>
      <c r="D31" s="13">
        <f t="shared" si="14"/>
        <v>6.5360561731795967E-3</v>
      </c>
      <c r="E31" s="13">
        <f t="shared" si="14"/>
        <v>2.2516935798886415</v>
      </c>
      <c r="F31" s="13">
        <f t="shared" si="14"/>
        <v>9.818140193645764</v>
      </c>
      <c r="G31" s="2" t="s">
        <v>32</v>
      </c>
      <c r="H31" s="2">
        <f>SUM(B31:F31)</f>
        <v>23.380731305063897</v>
      </c>
      <c r="I31" s="15" t="s">
        <v>33</v>
      </c>
      <c r="J31" s="15">
        <f>1-H30/H31</f>
        <v>0.63117030043921984</v>
      </c>
      <c r="K31" s="5">
        <f>1-H30/H31</f>
        <v>0.63117030043921984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27.75" customHeight="1" x14ac:dyDescent="0.35">
      <c r="A32" s="2" t="s">
        <v>13</v>
      </c>
      <c r="B32" s="13">
        <f xml:space="preserve"> $I$20+$I$21*B27+$I$22*B27^2</f>
        <v>69.624187084930384</v>
      </c>
      <c r="C32" s="13">
        <f t="shared" ref="C32:G32" si="15" xml:space="preserve"> $I$20+$I$21*C27+$I$22*C27^2</f>
        <v>70.71972003042265</v>
      </c>
      <c r="D32" s="13">
        <f t="shared" si="15"/>
        <v>72.320684645064432</v>
      </c>
      <c r="E32" s="13">
        <f t="shared" si="15"/>
        <v>74.089695487087738</v>
      </c>
      <c r="F32" s="13">
        <f t="shared" si="15"/>
        <v>75.554412938017379</v>
      </c>
      <c r="G32" s="23">
        <f t="shared" si="15"/>
        <v>75.554412938017379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7.25" customHeight="1" x14ac:dyDescent="0.35">
      <c r="A33" s="2" t="s">
        <v>28</v>
      </c>
      <c r="B33" s="13">
        <f xml:space="preserve"> (B28-B32)^2</f>
        <v>1.5422432063506325E-2</v>
      </c>
      <c r="C33" s="13">
        <f t="shared" ref="C33:F33" si="16" xml:space="preserve"> (C28-C32)^2</f>
        <v>2.2695524926362641E-2</v>
      </c>
      <c r="D33" s="13">
        <f t="shared" si="16"/>
        <v>3.6251855998197125E-3</v>
      </c>
      <c r="E33" s="13">
        <f t="shared" si="16"/>
        <v>1.6228474079009337E-2</v>
      </c>
      <c r="F33" s="13">
        <f t="shared" si="16"/>
        <v>1.6579771451911186E-3</v>
      </c>
      <c r="G33" s="2" t="s">
        <v>31</v>
      </c>
      <c r="H33" s="2">
        <f>SUM(B33:F33)</f>
        <v>5.9629593813889138E-2</v>
      </c>
      <c r="I33" s="15" t="s">
        <v>34</v>
      </c>
      <c r="J33" s="15">
        <f>1-H33/H31</f>
        <v>0.99744962665898418</v>
      </c>
      <c r="K33" s="15">
        <f>1-H33/H31</f>
        <v>0.99744962665898418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7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7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7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7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7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7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7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7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7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7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7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7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7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7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7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7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7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7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7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7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7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7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7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7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7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7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7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7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7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7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7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7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7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7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7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7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7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7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7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7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7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7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7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7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7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7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7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7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7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</sheetData>
  <mergeCells count="7">
    <mergeCell ref="E15:E20"/>
    <mergeCell ref="E21:E22"/>
    <mergeCell ref="G16:I16"/>
    <mergeCell ref="A15:A16"/>
    <mergeCell ref="A17:A18"/>
    <mergeCell ref="A19:A20"/>
    <mergeCell ref="A21:A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2026-03-27T19:58:59Z</dcterms:modified>
</cp:coreProperties>
</file>